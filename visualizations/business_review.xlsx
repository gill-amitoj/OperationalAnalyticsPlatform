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ServiceLookup" sheetId="2" r:id="rId2"/>
    <sheet name="BusinessReview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<sst xmlns="http://schemas.openxmlformats.org/spreadsheetml/2006/main" count="107" uniqueCount="50">
  <si>
    <t>service</t>
  </si>
  <si>
    <t>endpoint</t>
  </si>
  <si>
    <t>mean_ms</t>
  </si>
  <si>
    <t>median_ms</t>
  </si>
  <si>
    <t>p95_ms</t>
  </si>
  <si>
    <t>request_count</t>
  </si>
  <si>
    <t>error_rate</t>
  </si>
  <si>
    <t>payments</t>
  </si>
  <si>
    <t>auth</t>
  </si>
  <si>
    <t>events</t>
  </si>
  <si>
    <t>/checkout</t>
  </si>
  <si>
    <t>/refund</t>
  </si>
  <si>
    <t>/reset-password</t>
  </si>
  <si>
    <t>/verify</t>
  </si>
  <si>
    <t>/register</t>
  </si>
  <si>
    <t>/history</t>
  </si>
  <si>
    <t>/create</t>
  </si>
  <si>
    <t>/list</t>
  </si>
  <si>
    <t>/update</t>
  </si>
  <si>
    <t>/login</t>
  </si>
  <si>
    <t>/delete</t>
  </si>
  <si>
    <t>/logout</t>
  </si>
  <si>
    <t>owner</t>
  </si>
  <si>
    <t>priority_tier</t>
  </si>
  <si>
    <t>sla_target_ms</t>
  </si>
  <si>
    <t>team</t>
  </si>
  <si>
    <t>cost_center</t>
  </si>
  <si>
    <t>Alice Chen</t>
  </si>
  <si>
    <t>Bob Martinez</t>
  </si>
  <si>
    <t>Carol Williams</t>
  </si>
  <si>
    <t>High</t>
  </si>
  <si>
    <t>Medium</t>
  </si>
  <si>
    <t>Critical</t>
  </si>
  <si>
    <t>Identity</t>
  </si>
  <si>
    <t>Platform</t>
  </si>
  <si>
    <t>Payments</t>
  </si>
  <si>
    <t>CC-1001</t>
  </si>
  <si>
    <t>CC-1002</t>
  </si>
  <si>
    <t>CC-1003</t>
  </si>
  <si>
    <t>Owner</t>
  </si>
  <si>
    <t>Priority</t>
  </si>
  <si>
    <t>SLA Target (ms)</t>
  </si>
  <si>
    <t>SLA Status</t>
  </si>
  <si>
    <t>Action Required</t>
  </si>
  <si>
    <t>OPERATIONAL SYSTEM ANALYTICS - EXECUTIVE SUMMARY</t>
  </si>
  <si>
    <t>Total Endpoints Analyzed</t>
  </si>
  <si>
    <t>Services Covered</t>
  </si>
  <si>
    <t>Report Generated</t>
  </si>
  <si>
    <t>2026-02-04 00:17</t>
  </si>
  <si>
    <t>Note: BusinessReview sheet contains live formulas (VLOOKUP, IF) that update automatically when source data changes.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</si>
</sst>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2" fillId="4" borderId="0" xfId="0" applyFont="1" applyFill="1"/>
    <xf numFmtId="164" fontId="0" fillId="0" borderId="0" xfId="0" applyNumberFormat="1" applyAlignment="1">
      <alignment horizontal="right"/>
    </xf>
    <xf numFmtId="0" fontId="4" fillId="0" borderId="0" xfId="0" applyFont="1" applyAlignment="1">
      <alignment wrapText="1"/>
    </xf>
  </cellXfs>
  <cellStyles count="1">
    <cellStyle name="Normal" xfId="0" builtinId="0"/>
  </cellStyles>
  <dxfs count="3">
    <dxf>
      <font>
        <color rgb="FFFFFFFF"/>
      </font>
      <fill>
        <patternFill>
          <bgColor rgb="FFE74C3C"/>
        </patternFill>
      </fill>
    </dxf>
    <dxf>
      <font>
        <color rgb="FFFFFFFF"/>
      </font>
      <fill>
        <patternFill>
          <bgColor rgb="FFF39C12"/>
        </patternFill>
      </fill>
    </dxf>
    <dxf>
      <font>
        <color rgb="FFFFFFFF"/>
      </font>
      <fill>
        <patternFill>
          <bgColor rgb="FF27AE6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9.7109375" customWidth="1"/>
    <col min="4" max="4" width="11.7109375" customWidth="1"/>
    <col min="5" max="5" width="8.7109375" customWidth="1"/>
    <col min="6" max="6" width="15.7109375" customWidth="1"/>
    <col min="7" max="7" width="19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404.17</v>
      </c>
      <c r="D2">
        <v>370</v>
      </c>
      <c r="E2">
        <v>724</v>
      </c>
      <c r="F2">
        <v>5501</v>
      </c>
      <c r="G2">
        <v>8</v>
      </c>
    </row>
    <row r="3" spans="1:7">
      <c r="A3" t="s">
        <v>7</v>
      </c>
      <c r="B3" t="s">
        <v>11</v>
      </c>
      <c r="C3">
        <v>344.03</v>
      </c>
      <c r="D3">
        <v>314</v>
      </c>
      <c r="E3">
        <v>619.9</v>
      </c>
      <c r="F3">
        <v>1432</v>
      </c>
      <c r="G3">
        <v>10</v>
      </c>
    </row>
    <row r="4" spans="1:7">
      <c r="A4" t="s">
        <v>8</v>
      </c>
      <c r="B4" t="s">
        <v>12</v>
      </c>
      <c r="C4">
        <v>271.04</v>
      </c>
      <c r="D4">
        <v>247</v>
      </c>
      <c r="E4">
        <v>472.8</v>
      </c>
      <c r="F4">
        <v>2085</v>
      </c>
      <c r="G4">
        <v>11</v>
      </c>
    </row>
    <row r="5" spans="1:7">
      <c r="A5" t="s">
        <v>7</v>
      </c>
      <c r="B5" t="s">
        <v>13</v>
      </c>
      <c r="C5">
        <v>243.55</v>
      </c>
      <c r="D5">
        <v>225</v>
      </c>
      <c r="E5">
        <v>435.95</v>
      </c>
      <c r="F5">
        <v>2182</v>
      </c>
      <c r="G5">
        <v>6</v>
      </c>
    </row>
    <row r="6" spans="1:7">
      <c r="A6" t="s">
        <v>8</v>
      </c>
      <c r="B6" t="s">
        <v>14</v>
      </c>
      <c r="C6">
        <v>202.65</v>
      </c>
      <c r="D6">
        <v>186</v>
      </c>
      <c r="E6">
        <v>364</v>
      </c>
      <c r="F6">
        <v>6421</v>
      </c>
      <c r="G6">
        <v>7.000000000000001</v>
      </c>
    </row>
    <row r="7" spans="1:7">
      <c r="A7" t="s">
        <v>7</v>
      </c>
      <c r="B7" t="s">
        <v>15</v>
      </c>
      <c r="C7">
        <v>200.59</v>
      </c>
      <c r="D7">
        <v>184</v>
      </c>
      <c r="E7">
        <v>359</v>
      </c>
      <c r="F7">
        <v>4861</v>
      </c>
      <c r="G7">
        <v>3</v>
      </c>
    </row>
    <row r="8" spans="1:7">
      <c r="A8" t="s">
        <v>9</v>
      </c>
      <c r="B8" t="s">
        <v>16</v>
      </c>
      <c r="C8">
        <v>161.61</v>
      </c>
      <c r="D8">
        <v>148</v>
      </c>
      <c r="E8">
        <v>293</v>
      </c>
      <c r="F8">
        <v>7142</v>
      </c>
      <c r="G8">
        <v>6</v>
      </c>
    </row>
    <row r="9" spans="1:7">
      <c r="A9" t="s">
        <v>9</v>
      </c>
      <c r="B9" t="s">
        <v>17</v>
      </c>
      <c r="C9">
        <v>134.99</v>
      </c>
      <c r="D9">
        <v>124</v>
      </c>
      <c r="E9">
        <v>239</v>
      </c>
      <c r="F9">
        <v>14258</v>
      </c>
      <c r="G9">
        <v>3</v>
      </c>
    </row>
    <row r="10" spans="1:7">
      <c r="A10" t="s">
        <v>9</v>
      </c>
      <c r="B10" t="s">
        <v>18</v>
      </c>
      <c r="C10">
        <v>120.85</v>
      </c>
      <c r="D10">
        <v>111</v>
      </c>
      <c r="E10">
        <v>216</v>
      </c>
      <c r="F10">
        <v>4306</v>
      </c>
      <c r="G10">
        <v>4</v>
      </c>
    </row>
    <row r="11" spans="1:7">
      <c r="A11" t="s">
        <v>8</v>
      </c>
      <c r="B11" t="s">
        <v>19</v>
      </c>
      <c r="C11">
        <v>107.25</v>
      </c>
      <c r="D11">
        <v>99</v>
      </c>
      <c r="E11">
        <v>191</v>
      </c>
      <c r="F11">
        <v>25665</v>
      </c>
      <c r="G11">
        <v>4</v>
      </c>
    </row>
    <row r="12" spans="1:7">
      <c r="A12" t="s">
        <v>9</v>
      </c>
      <c r="B12" t="s">
        <v>20</v>
      </c>
      <c r="C12">
        <v>93.12</v>
      </c>
      <c r="D12">
        <v>86</v>
      </c>
      <c r="E12">
        <v>164</v>
      </c>
      <c r="F12">
        <v>2817</v>
      </c>
      <c r="G12">
        <v>3</v>
      </c>
    </row>
    <row r="13" spans="1:7">
      <c r="A13" t="s">
        <v>8</v>
      </c>
      <c r="B13" t="s">
        <v>21</v>
      </c>
      <c r="C13">
        <v>40.31</v>
      </c>
      <c r="D13">
        <v>37</v>
      </c>
      <c r="E13">
        <v>72</v>
      </c>
      <c r="F13">
        <v>8467</v>
      </c>
      <c r="G1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0.7109375" customWidth="1"/>
    <col min="2" max="2" width="16.7109375" customWidth="1"/>
    <col min="3" max="4" width="15.7109375" customWidth="1"/>
    <col min="5" max="5" width="10.7109375" customWidth="1"/>
    <col min="6" max="6" width="13.7109375" customWidth="1"/>
  </cols>
  <sheetData>
    <row r="1" spans="1:6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t="s">
        <v>8</v>
      </c>
      <c r="B2" t="s">
        <v>27</v>
      </c>
      <c r="C2" t="s">
        <v>30</v>
      </c>
      <c r="D2">
        <v>100</v>
      </c>
      <c r="E2" t="s">
        <v>33</v>
      </c>
      <c r="F2" t="s">
        <v>36</v>
      </c>
    </row>
    <row r="3" spans="1:6">
      <c r="A3" t="s">
        <v>9</v>
      </c>
      <c r="B3" t="s">
        <v>28</v>
      </c>
      <c r="C3" t="s">
        <v>31</v>
      </c>
      <c r="D3">
        <v>150</v>
      </c>
      <c r="E3" t="s">
        <v>34</v>
      </c>
      <c r="F3" t="s">
        <v>37</v>
      </c>
    </row>
    <row r="4" spans="1:6">
      <c r="A4" t="s">
        <v>7</v>
      </c>
      <c r="B4" t="s">
        <v>29</v>
      </c>
      <c r="C4" t="s">
        <v>32</v>
      </c>
      <c r="D4">
        <v>250</v>
      </c>
      <c r="E4" t="s">
        <v>35</v>
      </c>
      <c r="F4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cols>
    <col min="1" max="12" width="15.71093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>
      <c r="A2" t="s">
        <v>7</v>
      </c>
      <c r="B2" t="s">
        <v>10</v>
      </c>
      <c r="C2">
        <v>404.17</v>
      </c>
      <c r="D2">
        <v>370</v>
      </c>
      <c r="E2">
        <v>724</v>
      </c>
      <c r="F2">
        <v>5501</v>
      </c>
      <c r="G2">
        <v>8</v>
      </c>
      <c r="H2">
        <f>IFERROR(VLOOKUP(A2,ServiceLookup!$A$2:$F$10,2,FALSE),"Unknown")</f>
        <v>0</v>
      </c>
      <c r="I2">
        <f>IFERROR(VLOOKUP(A2,ServiceLookup!$A$2:$F$10,3,FALSE),"N/A")</f>
        <v>0</v>
      </c>
      <c r="J2">
        <f>IFERROR(VLOOKUP(A2,ServiceLookup!$A$2:$F$10,4,FALSE),999)</f>
        <v>0</v>
      </c>
      <c r="K2">
        <f>IF(C2&gt;J2,"SLA BREACH",IF(C2&gt;J2*0.8,"WARNING","OK"))</f>
        <v>0</v>
      </c>
      <c r="L2">
        <f>IF(C2&gt;J2,"Immediate Review",IF(C2&gt;J2*0.8,"Monitor Closely","No Action"))</f>
        <v>0</v>
      </c>
    </row>
    <row r="3" spans="1:12">
      <c r="A3" t="s">
        <v>7</v>
      </c>
      <c r="B3" t="s">
        <v>11</v>
      </c>
      <c r="C3">
        <v>344.03</v>
      </c>
      <c r="D3">
        <v>314</v>
      </c>
      <c r="E3">
        <v>619.9</v>
      </c>
      <c r="F3">
        <v>1432</v>
      </c>
      <c r="G3">
        <v>10</v>
      </c>
      <c r="H3">
        <f>IFERROR(VLOOKUP(A3,ServiceLookup!$A$2:$F$10,2,FALSE),"Unknown")</f>
        <v>0</v>
      </c>
      <c r="I3">
        <f>IFERROR(VLOOKUP(A3,ServiceLookup!$A$2:$F$10,3,FALSE),"N/A")</f>
        <v>0</v>
      </c>
      <c r="J3">
        <f>IFERROR(VLOOKUP(A3,ServiceLookup!$A$2:$F$10,4,FALSE),999)</f>
        <v>0</v>
      </c>
      <c r="K3">
        <f>IF(C3&gt;J3,"SLA BREACH",IF(C3&gt;J3*0.8,"WARNING","OK"))</f>
        <v>0</v>
      </c>
      <c r="L3">
        <f>IF(C3&gt;J3,"Immediate Review",IF(C3&gt;J3*0.8,"Monitor Closely","No Action"))</f>
        <v>0</v>
      </c>
    </row>
    <row r="4" spans="1:12">
      <c r="A4" t="s">
        <v>8</v>
      </c>
      <c r="B4" t="s">
        <v>12</v>
      </c>
      <c r="C4">
        <v>271.04</v>
      </c>
      <c r="D4">
        <v>247</v>
      </c>
      <c r="E4">
        <v>472.8</v>
      </c>
      <c r="F4">
        <v>2085</v>
      </c>
      <c r="G4">
        <v>11</v>
      </c>
      <c r="H4">
        <f>IFERROR(VLOOKUP(A4,ServiceLookup!$A$2:$F$10,2,FALSE),"Unknown")</f>
        <v>0</v>
      </c>
      <c r="I4">
        <f>IFERROR(VLOOKUP(A4,ServiceLookup!$A$2:$F$10,3,FALSE),"N/A")</f>
        <v>0</v>
      </c>
      <c r="J4">
        <f>IFERROR(VLOOKUP(A4,ServiceLookup!$A$2:$F$10,4,FALSE),999)</f>
        <v>0</v>
      </c>
      <c r="K4">
        <f>IF(C4&gt;J4,"SLA BREACH",IF(C4&gt;J4*0.8,"WARNING","OK"))</f>
        <v>0</v>
      </c>
      <c r="L4">
        <f>IF(C4&gt;J4,"Immediate Review",IF(C4&gt;J4*0.8,"Monitor Closely","No Action"))</f>
        <v>0</v>
      </c>
    </row>
    <row r="5" spans="1:12">
      <c r="A5" t="s">
        <v>7</v>
      </c>
      <c r="B5" t="s">
        <v>13</v>
      </c>
      <c r="C5">
        <v>243.55</v>
      </c>
      <c r="D5">
        <v>225</v>
      </c>
      <c r="E5">
        <v>435.95</v>
      </c>
      <c r="F5">
        <v>2182</v>
      </c>
      <c r="G5">
        <v>6</v>
      </c>
      <c r="H5">
        <f>IFERROR(VLOOKUP(A5,ServiceLookup!$A$2:$F$10,2,FALSE),"Unknown")</f>
        <v>0</v>
      </c>
      <c r="I5">
        <f>IFERROR(VLOOKUP(A5,ServiceLookup!$A$2:$F$10,3,FALSE),"N/A")</f>
        <v>0</v>
      </c>
      <c r="J5">
        <f>IFERROR(VLOOKUP(A5,ServiceLookup!$A$2:$F$10,4,FALSE),999)</f>
        <v>0</v>
      </c>
      <c r="K5">
        <f>IF(C5&gt;J5,"SLA BREACH",IF(C5&gt;J5*0.8,"WARNING","OK"))</f>
        <v>0</v>
      </c>
      <c r="L5">
        <f>IF(C5&gt;J5,"Immediate Review",IF(C5&gt;J5*0.8,"Monitor Closely","No Action"))</f>
        <v>0</v>
      </c>
    </row>
    <row r="6" spans="1:12">
      <c r="A6" t="s">
        <v>8</v>
      </c>
      <c r="B6" t="s">
        <v>14</v>
      </c>
      <c r="C6">
        <v>202.65</v>
      </c>
      <c r="D6">
        <v>186</v>
      </c>
      <c r="E6">
        <v>364</v>
      </c>
      <c r="F6">
        <v>6421</v>
      </c>
      <c r="G6">
        <v>7.000000000000001</v>
      </c>
      <c r="H6">
        <f>IFERROR(VLOOKUP(A6,ServiceLookup!$A$2:$F$10,2,FALSE),"Unknown")</f>
        <v>0</v>
      </c>
      <c r="I6">
        <f>IFERROR(VLOOKUP(A6,ServiceLookup!$A$2:$F$10,3,FALSE),"N/A")</f>
        <v>0</v>
      </c>
      <c r="J6">
        <f>IFERROR(VLOOKUP(A6,ServiceLookup!$A$2:$F$10,4,FALSE),999)</f>
        <v>0</v>
      </c>
      <c r="K6">
        <f>IF(C6&gt;J6,"SLA BREACH",IF(C6&gt;J6*0.8,"WARNING","OK"))</f>
        <v>0</v>
      </c>
      <c r="L6">
        <f>IF(C6&gt;J6,"Immediate Review",IF(C6&gt;J6*0.8,"Monitor Closely","No Action"))</f>
        <v>0</v>
      </c>
    </row>
    <row r="7" spans="1:12">
      <c r="A7" t="s">
        <v>7</v>
      </c>
      <c r="B7" t="s">
        <v>15</v>
      </c>
      <c r="C7">
        <v>200.59</v>
      </c>
      <c r="D7">
        <v>184</v>
      </c>
      <c r="E7">
        <v>359</v>
      </c>
      <c r="F7">
        <v>4861</v>
      </c>
      <c r="G7">
        <v>3</v>
      </c>
      <c r="H7">
        <f>IFERROR(VLOOKUP(A7,ServiceLookup!$A$2:$F$10,2,FALSE),"Unknown")</f>
        <v>0</v>
      </c>
      <c r="I7">
        <f>IFERROR(VLOOKUP(A7,ServiceLookup!$A$2:$F$10,3,FALSE),"N/A")</f>
        <v>0</v>
      </c>
      <c r="J7">
        <f>IFERROR(VLOOKUP(A7,ServiceLookup!$A$2:$F$10,4,FALSE),999)</f>
        <v>0</v>
      </c>
      <c r="K7">
        <f>IF(C7&gt;J7,"SLA BREACH",IF(C7&gt;J7*0.8,"WARNING","OK"))</f>
        <v>0</v>
      </c>
      <c r="L7">
        <f>IF(C7&gt;J7,"Immediate Review",IF(C7&gt;J7*0.8,"Monitor Closely","No Action"))</f>
        <v>0</v>
      </c>
    </row>
    <row r="8" spans="1:12">
      <c r="A8" t="s">
        <v>9</v>
      </c>
      <c r="B8" t="s">
        <v>16</v>
      </c>
      <c r="C8">
        <v>161.61</v>
      </c>
      <c r="D8">
        <v>148</v>
      </c>
      <c r="E8">
        <v>293</v>
      </c>
      <c r="F8">
        <v>7142</v>
      </c>
      <c r="G8">
        <v>6</v>
      </c>
      <c r="H8">
        <f>IFERROR(VLOOKUP(A8,ServiceLookup!$A$2:$F$10,2,FALSE),"Unknown")</f>
        <v>0</v>
      </c>
      <c r="I8">
        <f>IFERROR(VLOOKUP(A8,ServiceLookup!$A$2:$F$10,3,FALSE),"N/A")</f>
        <v>0</v>
      </c>
      <c r="J8">
        <f>IFERROR(VLOOKUP(A8,ServiceLookup!$A$2:$F$10,4,FALSE),999)</f>
        <v>0</v>
      </c>
      <c r="K8">
        <f>IF(C8&gt;J8,"SLA BREACH",IF(C8&gt;J8*0.8,"WARNING","OK"))</f>
        <v>0</v>
      </c>
      <c r="L8">
        <f>IF(C8&gt;J8,"Immediate Review",IF(C8&gt;J8*0.8,"Monitor Closely","No Action"))</f>
        <v>0</v>
      </c>
    </row>
    <row r="9" spans="1:12">
      <c r="A9" t="s">
        <v>9</v>
      </c>
      <c r="B9" t="s">
        <v>17</v>
      </c>
      <c r="C9">
        <v>134.99</v>
      </c>
      <c r="D9">
        <v>124</v>
      </c>
      <c r="E9">
        <v>239</v>
      </c>
      <c r="F9">
        <v>14258</v>
      </c>
      <c r="G9">
        <v>3</v>
      </c>
      <c r="H9">
        <f>IFERROR(VLOOKUP(A9,ServiceLookup!$A$2:$F$10,2,FALSE),"Unknown")</f>
        <v>0</v>
      </c>
      <c r="I9">
        <f>IFERROR(VLOOKUP(A9,ServiceLookup!$A$2:$F$10,3,FALSE),"N/A")</f>
        <v>0</v>
      </c>
      <c r="J9">
        <f>IFERROR(VLOOKUP(A9,ServiceLookup!$A$2:$F$10,4,FALSE),999)</f>
        <v>0</v>
      </c>
      <c r="K9">
        <f>IF(C9&gt;J9,"SLA BREACH",IF(C9&gt;J9*0.8,"WARNING","OK"))</f>
        <v>0</v>
      </c>
      <c r="L9">
        <f>IF(C9&gt;J9,"Immediate Review",IF(C9&gt;J9*0.8,"Monitor Closely","No Action"))</f>
        <v>0</v>
      </c>
    </row>
    <row r="10" spans="1:12">
      <c r="A10" t="s">
        <v>9</v>
      </c>
      <c r="B10" t="s">
        <v>18</v>
      </c>
      <c r="C10">
        <v>120.85</v>
      </c>
      <c r="D10">
        <v>111</v>
      </c>
      <c r="E10">
        <v>216</v>
      </c>
      <c r="F10">
        <v>4306</v>
      </c>
      <c r="G10">
        <v>4</v>
      </c>
      <c r="H10">
        <f>IFERROR(VLOOKUP(A10,ServiceLookup!$A$2:$F$10,2,FALSE),"Unknown")</f>
        <v>0</v>
      </c>
      <c r="I10">
        <f>IFERROR(VLOOKUP(A10,ServiceLookup!$A$2:$F$10,3,FALSE),"N/A")</f>
        <v>0</v>
      </c>
      <c r="J10">
        <f>IFERROR(VLOOKUP(A10,ServiceLookup!$A$2:$F$10,4,FALSE),999)</f>
        <v>0</v>
      </c>
      <c r="K10">
        <f>IF(C10&gt;J10,"SLA BREACH",IF(C10&gt;J10*0.8,"WARNING","OK"))</f>
        <v>0</v>
      </c>
      <c r="L10">
        <f>IF(C10&gt;J10,"Immediate Review",IF(C10&gt;J10*0.8,"Monitor Closely","No Action"))</f>
        <v>0</v>
      </c>
    </row>
    <row r="11" spans="1:12">
      <c r="A11" t="s">
        <v>8</v>
      </c>
      <c r="B11" t="s">
        <v>19</v>
      </c>
      <c r="C11">
        <v>107.25</v>
      </c>
      <c r="D11">
        <v>99</v>
      </c>
      <c r="E11">
        <v>191</v>
      </c>
      <c r="F11">
        <v>25665</v>
      </c>
      <c r="G11">
        <v>4</v>
      </c>
      <c r="H11">
        <f>IFERROR(VLOOKUP(A11,ServiceLookup!$A$2:$F$10,2,FALSE),"Unknown")</f>
        <v>0</v>
      </c>
      <c r="I11">
        <f>IFERROR(VLOOKUP(A11,ServiceLookup!$A$2:$F$10,3,FALSE),"N/A")</f>
        <v>0</v>
      </c>
      <c r="J11">
        <f>IFERROR(VLOOKUP(A11,ServiceLookup!$A$2:$F$10,4,FALSE),999)</f>
        <v>0</v>
      </c>
      <c r="K11">
        <f>IF(C11&gt;J11,"SLA BREACH",IF(C11&gt;J11*0.8,"WARNING","OK"))</f>
        <v>0</v>
      </c>
      <c r="L11">
        <f>IF(C11&gt;J11,"Immediate Review",IF(C11&gt;J11*0.8,"Monitor Closely","No Action"))</f>
        <v>0</v>
      </c>
    </row>
    <row r="12" spans="1:12">
      <c r="A12" t="s">
        <v>9</v>
      </c>
      <c r="B12" t="s">
        <v>20</v>
      </c>
      <c r="C12">
        <v>93.12</v>
      </c>
      <c r="D12">
        <v>86</v>
      </c>
      <c r="E12">
        <v>164</v>
      </c>
      <c r="F12">
        <v>2817</v>
      </c>
      <c r="G12">
        <v>3</v>
      </c>
      <c r="H12">
        <f>IFERROR(VLOOKUP(A12,ServiceLookup!$A$2:$F$10,2,FALSE),"Unknown")</f>
        <v>0</v>
      </c>
      <c r="I12">
        <f>IFERROR(VLOOKUP(A12,ServiceLookup!$A$2:$F$10,3,FALSE),"N/A")</f>
        <v>0</v>
      </c>
      <c r="J12">
        <f>IFERROR(VLOOKUP(A12,ServiceLookup!$A$2:$F$10,4,FALSE),999)</f>
        <v>0</v>
      </c>
      <c r="K12">
        <f>IF(C12&gt;J12,"SLA BREACH",IF(C12&gt;J12*0.8,"WARNING","OK"))</f>
        <v>0</v>
      </c>
      <c r="L12">
        <f>IF(C12&gt;J12,"Immediate Review",IF(C12&gt;J12*0.8,"Monitor Closely","No Action"))</f>
        <v>0</v>
      </c>
    </row>
    <row r="13" spans="1:12">
      <c r="A13" t="s">
        <v>8</v>
      </c>
      <c r="B13" t="s">
        <v>21</v>
      </c>
      <c r="C13">
        <v>40.31</v>
      </c>
      <c r="D13">
        <v>37</v>
      </c>
      <c r="E13">
        <v>72</v>
      </c>
      <c r="F13">
        <v>8467</v>
      </c>
      <c r="G13">
        <v>2</v>
      </c>
      <c r="H13">
        <f>IFERROR(VLOOKUP(A13,ServiceLookup!$A$2:$F$10,2,FALSE),"Unknown")</f>
        <v>0</v>
      </c>
      <c r="I13">
        <f>IFERROR(VLOOKUP(A13,ServiceLookup!$A$2:$F$10,3,FALSE),"N/A")</f>
        <v>0</v>
      </c>
      <c r="J13">
        <f>IFERROR(VLOOKUP(A13,ServiceLookup!$A$2:$F$10,4,FALSE),999)</f>
        <v>0</v>
      </c>
      <c r="K13">
        <f>IF(C13&gt;J13,"SLA BREACH",IF(C13&gt;J13*0.8,"WARNING","OK"))</f>
        <v>0</v>
      </c>
      <c r="L13">
        <f>IF(C13&gt;J13,"Immediate Review",IF(C13&gt;J13*0.8,"Monitor Closely","No Action"))</f>
        <v>0</v>
      </c>
    </row>
  </sheetData>
  <conditionalFormatting sqref="K2:K13">
    <cfRule type="containsText" dxfId="0" priority="1" operator="containsText" text="BREACH">
      <formula>NOT(ISERROR(SEARCH("BREACH",K2)))</formula>
    </cfRule>
    <cfRule type="containsText" dxfId="1" priority="2" operator="containsText" text="WARNING">
      <formula>NOT(ISERROR(SEARCH("WARNING",K2)))</formula>
    </cfRule>
    <cfRule type="containsText" dxfId="2" priority="3" operator="containsText" text="OK">
      <formula>NOT(ISERROR(SEARCH("OK",K2)))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30.7109375" customWidth="1"/>
    <col min="2" max="2" width="20.7109375" customWidth="1"/>
  </cols>
  <sheetData>
    <row r="1" spans="1:5">
      <c r="A1" s="3" t="s">
        <v>44</v>
      </c>
      <c r="B1" s="3"/>
      <c r="C1" s="3"/>
      <c r="D1" s="3"/>
      <c r="E1" s="3"/>
    </row>
    <row r="3" spans="1:5">
      <c r="A3" s="4" t="s">
        <v>45</v>
      </c>
      <c r="B3" s="5">
        <v>12</v>
      </c>
    </row>
    <row r="4" spans="1:5">
      <c r="A4" s="4" t="s">
        <v>46</v>
      </c>
      <c r="B4" s="5">
        <v>3</v>
      </c>
    </row>
    <row r="5" spans="1:5">
      <c r="A5" s="4" t="s">
        <v>47</v>
      </c>
      <c r="B5" s="5" t="s">
        <v>48</v>
      </c>
    </row>
    <row r="8" spans="1:5">
      <c r="A8" s="6" t="s">
        <v>49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ServiceLookup</vt:lpstr>
      <vt:lpstr>BusinessReview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2026-02-04T07:17:14Z</dcterms:created>
  <dcterms:modified xsi:type="dcterms:W3CDTF">2026-02-04T07:17:14Z</dcterms:modified>
</cp:coreProperties>
</file>